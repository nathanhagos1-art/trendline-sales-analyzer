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Ledger" sheetId="1" state="visible" r:id="rId3"/>
    <sheet name="Management_Dashboard" sheetId="2" state="visible" r:id="rId4"/>
  </sheets>
  <definedNames>
    <definedName function="false" hidden="false" localSheetId="1" name="_xlnm.Print_Area" vbProcedure="false">Management_Dashboard!$A$1:$M$36</definedName>
    <definedName function="false" hidden="false" localSheetId="0" name="_xlnm.Print_Area" vbProcedure="false">Sales_Ledger!$A$1:$G$25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<sst xmlns="http://schemas.openxmlformats.org/spreadsheetml/2006/main" count="84" uniqueCount="34">
  <si>
    <t xml:space="preserve">Date</t>
  </si>
  <si>
    <t xml:space="preserve">Product</t>
  </si>
  <si>
    <t xml:space="preserve">Category</t>
  </si>
  <si>
    <t xml:space="preserve">Units_Sold</t>
  </si>
  <si>
    <t xml:space="preserve">Unit_Price</t>
  </si>
  <si>
    <t xml:space="preserve">Revenue</t>
  </si>
  <si>
    <t xml:space="preserve">Stock_Remaining</t>
  </si>
  <si>
    <t xml:space="preserve">2026-06-01</t>
  </si>
  <si>
    <t xml:space="preserve">Cotton T-Shirt</t>
  </si>
  <si>
    <t xml:space="preserve">Tops</t>
  </si>
  <si>
    <t xml:space="preserve">Denim Jacket</t>
  </si>
  <si>
    <t xml:space="preserve">Outerwear</t>
  </si>
  <si>
    <t xml:space="preserve">Running Shorts</t>
  </si>
  <si>
    <t xml:space="preserve">Bottoms</t>
  </si>
  <si>
    <t xml:space="preserve">2026-06-02</t>
  </si>
  <si>
    <t xml:space="preserve">Wool Scarf</t>
  </si>
  <si>
    <t xml:space="preserve">Accessories</t>
  </si>
  <si>
    <t xml:space="preserve">Leather Belt</t>
  </si>
  <si>
    <t xml:space="preserve">2026-06-03</t>
  </si>
  <si>
    <t xml:space="preserve">Denim Jeans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</si>
  <si>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</si>
  <si>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</si>
  <si>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</si>
  <si>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</si>
  <si>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Legend:</t>
  </si>
  <si>
    <t xml:space="preserve">Low stock (&lt; 10 units)</t>
  </si>
  <si>
    <t xml:space="preserve">Oversold (negative stock)</t>
  </si>
  <si>
    <t xml:space="preserve">TrendLine — Management Dashboard</t>
  </si>
  <si>
    <t xml:space="preserve">Product Search</t>
  </si>
  <si>
    <t xml:space="preserve">Product name:</t>
  </si>
  <si>
    <t xml:space="preserve">Total units sold:</t>
  </si>
  <si>
    <t xml:space="preserve">Latest stock remaining:</t>
  </si>
  <si>
    <t xml:space="preserve">Yellow cell (B4) = type a product name here to search.</t>
  </si>
  <si>
    <t xml:space="preserve">Revenue by Category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</si>
</sst>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8CBCB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CB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CB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Management_Dashboard!B12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Management_Dashboard!$A$13:$A$16</c:f>
              <c:strCache>
                <c:ptCount val="4"/>
                <c:pt idx="0">
                  <c:v>Accessories</c:v>
                </c:pt>
                <c:pt idx="1">
                  <c:v>Bottoms</c:v>
                </c:pt>
                <c:pt idx="2">
                  <c:v>Outerwear</c:v>
                </c:pt>
                <c:pt idx="3">
                  <c:v>Tops</c:v>
                </c:pt>
              </c:strCache>
            </c:strRef>
          </c:cat>
          <c:val>
            <c:numRef>
              <c:f>Management_Dashboard!$B$13:$B$16</c:f>
              <c:numCache>
                <c:formatCode>\£#,##0.00</c:formatCode>
                <c:ptCount val="4"/>
                <c:pt idx="0">
                  <c:v>994.41</c:v>
                </c:pt>
                <c:pt idx="1">
                  <c:v>3303.86</c:v>
                </c:pt>
                <c:pt idx="2">
                  <c:v>1319.78</c:v>
                </c:pt>
                <c:pt idx="3">
                  <c:v>3869.58</c:v>
                </c:pt>
              </c:numCache>
            </c:numRef>
          </c:val>
        </c:ser>
        <c:gapWidth val="150"/>
        <c:overlap val="0"/>
        <c:axId val="76122962"/>
        <c:axId val="92422298"/>
      </c:barChart>
      <c:catAx>
        <c:axId val="761229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22298"/>
        <c:crosses val="autoZero"/>
        <c:auto val="1"/>
        <c:lblAlgn val="ctr"/>
        <c:lblOffset val="100"/>
        <c:noMultiLvlLbl val="0"/>
      </c:catAx>
      <c:valAx>
        <c:axId val="92422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229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9</xdr:row>
      <xdr:rowOff>160920</xdr:rowOff>
    </xdr:from>
    <xdr:to>
      <xdr:col>12</xdr:col>
      <xdr:colOff>255960</xdr:colOff>
      <xdr:row>24</xdr:row>
      <xdr:rowOff>182880</xdr:rowOff>
    </xdr:to>
    <xdr:graphicFrame>
      <xdr:nvGraphicFramePr>
        <xdr:cNvPr id="0" name="Chart 1"/>
        <xdr:cNvGraphicFramePr/>
      </xdr:nvGraphicFramePr>
      <xdr:xfrm>
        <a:off x="3430800" y="1905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6" min="4" style="0" width="11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42</v>
      </c>
      <c r="E2" s="3" t="n">
        <v>15.99</v>
      </c>
      <c r="F2" s="3" t="n">
        <f aca="false">D2*E2</f>
        <v>671.58</v>
      </c>
      <c r="G2" s="2" t="n">
        <v>120</v>
      </c>
    </row>
    <row r="3" customFormat="false" ht="15" hidden="false" customHeight="false" outlineLevel="0" collapsed="false">
      <c r="A3" s="2" t="s">
        <v>7</v>
      </c>
      <c r="B3" s="2" t="s">
        <v>10</v>
      </c>
      <c r="C3" s="2" t="s">
        <v>11</v>
      </c>
      <c r="D3" s="2" t="n">
        <v>8</v>
      </c>
      <c r="E3" s="3" t="n">
        <v>59.99</v>
      </c>
      <c r="F3" s="3" t="n">
        <f aca="false">D3*E3</f>
        <v>479.92</v>
      </c>
      <c r="G3" s="2" t="n">
        <v>15</v>
      </c>
    </row>
    <row r="4" customFormat="false" ht="15" hidden="false" customHeight="false" outlineLevel="0" collapsed="false">
      <c r="A4" s="2" t="s">
        <v>7</v>
      </c>
      <c r="B4" s="2" t="s">
        <v>12</v>
      </c>
      <c r="C4" s="2" t="s">
        <v>13</v>
      </c>
      <c r="D4" s="2" t="n">
        <v>25</v>
      </c>
      <c r="E4" s="3" t="n">
        <v>19.99</v>
      </c>
      <c r="F4" s="3" t="n">
        <f aca="false">D4*E4</f>
        <v>499.75</v>
      </c>
      <c r="G4" s="2" t="n">
        <v>80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16</v>
      </c>
      <c r="D5" s="2" t="n">
        <v>12</v>
      </c>
      <c r="E5" s="3" t="n">
        <v>12.99</v>
      </c>
      <c r="F5" s="3" t="n">
        <f aca="false">D5*E5</f>
        <v>155.88</v>
      </c>
      <c r="G5" s="2" t="n">
        <v>60</v>
      </c>
    </row>
    <row r="6" customFormat="false" ht="15" hidden="false" customHeight="false" outlineLevel="0" collapsed="false">
      <c r="A6" s="2" t="s">
        <v>14</v>
      </c>
      <c r="B6" s="2" t="s">
        <v>8</v>
      </c>
      <c r="C6" s="2" t="s">
        <v>9</v>
      </c>
      <c r="D6" s="2" t="n">
        <v>38</v>
      </c>
      <c r="E6" s="3" t="n">
        <v>15.99</v>
      </c>
      <c r="F6" s="3" t="n">
        <f aca="false">D6*E6</f>
        <v>607.62</v>
      </c>
      <c r="G6" s="2" t="n">
        <v>82</v>
      </c>
    </row>
    <row r="7" customFormat="false" ht="15" hidden="false" customHeight="false" outlineLevel="0" collapsed="false">
      <c r="A7" s="2" t="s">
        <v>14</v>
      </c>
      <c r="B7" s="2" t="s">
        <v>17</v>
      </c>
      <c r="C7" s="2" t="s">
        <v>16</v>
      </c>
      <c r="D7" s="2" t="n">
        <v>6</v>
      </c>
      <c r="E7" s="3" t="n">
        <v>24.99</v>
      </c>
      <c r="F7" s="3" t="n">
        <f aca="false">D7*E7</f>
        <v>149.94</v>
      </c>
      <c r="G7" s="2" t="n">
        <v>10</v>
      </c>
    </row>
    <row r="8" customFormat="false" ht="15" hidden="false" customHeight="false" outlineLevel="0" collapsed="false">
      <c r="A8" s="2" t="s">
        <v>18</v>
      </c>
      <c r="B8" s="2" t="s">
        <v>19</v>
      </c>
      <c r="C8" s="2" t="s">
        <v>13</v>
      </c>
      <c r="D8" s="2" t="n">
        <v>19</v>
      </c>
      <c r="E8" s="3" t="n">
        <v>44.99</v>
      </c>
      <c r="F8" s="3" t="n">
        <f aca="false">D8*E8</f>
        <v>854.81</v>
      </c>
      <c r="G8" s="2" t="n">
        <v>45</v>
      </c>
    </row>
    <row r="9" customFormat="false" ht="15" hidden="false" customHeight="false" outlineLevel="0" collapsed="false">
      <c r="A9" s="2" t="s">
        <v>18</v>
      </c>
      <c r="B9" s="2" t="s">
        <v>15</v>
      </c>
      <c r="C9" s="2" t="s">
        <v>16</v>
      </c>
      <c r="D9" s="2" t="n">
        <v>5</v>
      </c>
      <c r="E9" s="3" t="n">
        <v>12.99</v>
      </c>
      <c r="F9" s="3" t="n">
        <f aca="false">D9*E9</f>
        <v>64.95</v>
      </c>
      <c r="G9" s="2" t="n">
        <v>55</v>
      </c>
    </row>
    <row r="10" customFormat="false" ht="15" hidden="false" customHeight="false" outlineLevel="0" collapsed="false">
      <c r="A10" s="2" t="s">
        <v>18</v>
      </c>
      <c r="B10" s="2" t="s">
        <v>10</v>
      </c>
      <c r="C10" s="2" t="s">
        <v>11</v>
      </c>
      <c r="D10" s="2" t="n">
        <v>3</v>
      </c>
      <c r="E10" s="3" t="n">
        <v>59.99</v>
      </c>
      <c r="F10" s="3" t="n">
        <f aca="false">D10*E10</f>
        <v>179.97</v>
      </c>
      <c r="G10" s="2" t="n">
        <v>12</v>
      </c>
    </row>
    <row r="11" customFormat="false" ht="15" hidden="false" customHeight="false" outlineLevel="0" collapsed="false">
      <c r="A11" s="2" t="s">
        <v>20</v>
      </c>
      <c r="B11" s="2" t="s">
        <v>8</v>
      </c>
      <c r="C11" s="2" t="s">
        <v>9</v>
      </c>
      <c r="D11" s="2" t="n">
        <v>55</v>
      </c>
      <c r="E11" s="3" t="n">
        <v>15.99</v>
      </c>
      <c r="F11" s="3" t="n">
        <f aca="false">D11*E11</f>
        <v>879.45</v>
      </c>
      <c r="G11" s="2" t="n">
        <v>27</v>
      </c>
    </row>
    <row r="12" customFormat="false" ht="15" hidden="false" customHeight="false" outlineLevel="0" collapsed="false">
      <c r="A12" s="2" t="s">
        <v>20</v>
      </c>
      <c r="B12" s="2" t="s">
        <v>12</v>
      </c>
      <c r="C12" s="2" t="s">
        <v>13</v>
      </c>
      <c r="D12" s="2" t="n">
        <v>30</v>
      </c>
      <c r="E12" s="3" t="n">
        <v>19.99</v>
      </c>
      <c r="F12" s="3" t="n">
        <f aca="false">D12*E12</f>
        <v>599.7</v>
      </c>
      <c r="G12" s="2" t="n">
        <v>50</v>
      </c>
    </row>
    <row r="13" customFormat="false" ht="15" hidden="false" customHeight="false" outlineLevel="0" collapsed="false">
      <c r="A13" s="2" t="s">
        <v>20</v>
      </c>
      <c r="B13" s="2" t="s">
        <v>17</v>
      </c>
      <c r="C13" s="2" t="s">
        <v>16</v>
      </c>
      <c r="D13" s="2" t="n">
        <v>9</v>
      </c>
      <c r="E13" s="3" t="n">
        <v>24.99</v>
      </c>
      <c r="F13" s="3" t="n">
        <f aca="false">D13*E13</f>
        <v>224.91</v>
      </c>
      <c r="G13" s="2" t="n">
        <v>1</v>
      </c>
    </row>
    <row r="14" customFormat="false" ht="15" hidden="false" customHeight="false" outlineLevel="0" collapsed="false">
      <c r="A14" s="2" t="s">
        <v>21</v>
      </c>
      <c r="B14" s="2" t="s">
        <v>15</v>
      </c>
      <c r="C14" s="2" t="s">
        <v>16</v>
      </c>
      <c r="D14" s="2" t="n">
        <v>14</v>
      </c>
      <c r="E14" s="3" t="n">
        <v>12.99</v>
      </c>
      <c r="F14" s="3" t="n">
        <f aca="false">D14*E14</f>
        <v>181.86</v>
      </c>
      <c r="G14" s="2" t="n">
        <v>41</v>
      </c>
    </row>
    <row r="15" customFormat="false" ht="15" hidden="false" customHeight="false" outlineLevel="0" collapsed="false">
      <c r="A15" s="2" t="s">
        <v>21</v>
      </c>
      <c r="B15" s="2" t="s">
        <v>19</v>
      </c>
      <c r="C15" s="2" t="s">
        <v>13</v>
      </c>
      <c r="D15" s="2" t="n">
        <v>22</v>
      </c>
      <c r="E15" s="3" t="n">
        <v>44.99</v>
      </c>
      <c r="F15" s="3" t="n">
        <f aca="false">D15*E15</f>
        <v>989.78</v>
      </c>
      <c r="G15" s="2" t="n">
        <v>23</v>
      </c>
    </row>
    <row r="16" customFormat="false" ht="15" hidden="false" customHeight="false" outlineLevel="0" collapsed="false">
      <c r="A16" s="2" t="s">
        <v>21</v>
      </c>
      <c r="B16" s="2" t="s">
        <v>8</v>
      </c>
      <c r="C16" s="2" t="s">
        <v>9</v>
      </c>
      <c r="D16" s="2" t="n">
        <v>47</v>
      </c>
      <c r="E16" s="3" t="n">
        <v>15.99</v>
      </c>
      <c r="F16" s="3" t="n">
        <f aca="false">D16*E16</f>
        <v>751.53</v>
      </c>
      <c r="G16" s="2" t="n">
        <v>-20</v>
      </c>
    </row>
    <row r="17" customFormat="false" ht="15" hidden="false" customHeight="false" outlineLevel="0" collapsed="false">
      <c r="A17" s="2" t="s">
        <v>22</v>
      </c>
      <c r="B17" s="2" t="s">
        <v>10</v>
      </c>
      <c r="C17" s="2" t="s">
        <v>11</v>
      </c>
      <c r="D17" s="2" t="n">
        <v>11</v>
      </c>
      <c r="E17" s="3" t="n">
        <v>59.99</v>
      </c>
      <c r="F17" s="3" t="n">
        <f aca="false">D17*E17</f>
        <v>659.89</v>
      </c>
      <c r="G17" s="2" t="n">
        <v>1</v>
      </c>
    </row>
    <row r="18" customFormat="false" ht="15" hidden="false" customHeight="false" outlineLevel="0" collapsed="false">
      <c r="A18" s="2" t="s">
        <v>22</v>
      </c>
      <c r="B18" s="2" t="s">
        <v>12</v>
      </c>
      <c r="C18" s="2" t="s">
        <v>13</v>
      </c>
      <c r="D18" s="2" t="n">
        <v>18</v>
      </c>
      <c r="E18" s="3" t="n">
        <v>19.99</v>
      </c>
      <c r="F18" s="3" t="n">
        <f aca="false">D18*E18</f>
        <v>359.82</v>
      </c>
      <c r="G18" s="2" t="n">
        <v>32</v>
      </c>
    </row>
    <row r="19" customFormat="false" ht="15" hidden="false" customHeight="false" outlineLevel="0" collapsed="false">
      <c r="A19" s="2" t="s">
        <v>22</v>
      </c>
      <c r="B19" s="2" t="s">
        <v>17</v>
      </c>
      <c r="C19" s="2" t="s">
        <v>16</v>
      </c>
      <c r="D19" s="2" t="n">
        <v>4</v>
      </c>
      <c r="E19" s="3" t="n">
        <v>24.99</v>
      </c>
      <c r="F19" s="3" t="n">
        <f aca="false">D19*E19</f>
        <v>99.96</v>
      </c>
      <c r="G19" s="2" t="n">
        <v>-3</v>
      </c>
    </row>
    <row r="20" customFormat="false" ht="15" hidden="false" customHeight="false" outlineLevel="0" collapsed="false">
      <c r="A20" s="2" t="s">
        <v>23</v>
      </c>
      <c r="B20" s="2" t="s">
        <v>8</v>
      </c>
      <c r="C20" s="2" t="s">
        <v>9</v>
      </c>
      <c r="D20" s="2" t="n">
        <v>60</v>
      </c>
      <c r="E20" s="3" t="n">
        <v>15.99</v>
      </c>
      <c r="F20" s="3" t="n">
        <f aca="false">D20*E20</f>
        <v>959.4</v>
      </c>
      <c r="G20" s="2" t="n">
        <v>-80</v>
      </c>
    </row>
    <row r="21" customFormat="false" ht="15" hidden="false" customHeight="false" outlineLevel="0" collapsed="false">
      <c r="A21" s="2" t="s">
        <v>23</v>
      </c>
      <c r="B21" s="2" t="s">
        <v>15</v>
      </c>
      <c r="C21" s="2" t="s">
        <v>16</v>
      </c>
      <c r="D21" s="2" t="n">
        <v>9</v>
      </c>
      <c r="E21" s="3" t="n">
        <v>12.99</v>
      </c>
      <c r="F21" s="3" t="n">
        <f aca="false">D21*E21</f>
        <v>116.91</v>
      </c>
      <c r="G21" s="2" t="n">
        <v>32</v>
      </c>
    </row>
    <row r="23" customFormat="false" ht="15" hidden="false" customHeight="false" outlineLevel="0" collapsed="false">
      <c r="A23" s="4" t="s">
        <v>24</v>
      </c>
    </row>
    <row r="24" customFormat="false" ht="15" hidden="false" customHeight="false" outlineLevel="0" collapsed="false">
      <c r="A24" s="5" t="s">
        <v>25</v>
      </c>
    </row>
    <row r="25" customFormat="false" ht="15" hidden="false" customHeight="false" outlineLevel="0" collapsed="false">
      <c r="A25" s="6" t="s">
        <v>26</v>
      </c>
    </row>
  </sheetData>
  <conditionalFormatting sqref="G2:G21">
    <cfRule type="cellIs" priority="2" operator="lessThan" aboveAverage="0" equalAverage="0" bottom="0" percent="0" rank="0" text="" dxfId="0">
      <formula>0</formula>
    </cfRule>
    <cfRule type="cellIs" priority="3" operator="between" aboveAverage="0" equalAverage="0" bottom="0" percent="0" rank="0" text="" dxfId="1">
      <formula>0</formula>
      <formula>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7" t="s">
        <v>27</v>
      </c>
    </row>
    <row r="3" customFormat="false" ht="15" hidden="false" customHeight="false" outlineLevel="0" collapsed="false">
      <c r="A3" s="4" t="s">
        <v>28</v>
      </c>
    </row>
    <row r="4" customFormat="false" ht="15" hidden="false" customHeight="false" outlineLevel="0" collapsed="false">
      <c r="A4" s="8" t="s">
        <v>29</v>
      </c>
      <c r="B4" s="9" t="s">
        <v>8</v>
      </c>
    </row>
    <row r="5" customFormat="false" ht="15" hidden="false" customHeight="false" outlineLevel="0" collapsed="false">
      <c r="A5" s="8" t="s">
        <v>30</v>
      </c>
      <c r="B5" s="8" t="n">
        <f aca="false">IFERROR(SUMIFS(Sales_Ledger!$D$2:$D$21,Sales_Ledger!$B$2:$B$21,$B$4),"Not found")</f>
        <v>242</v>
      </c>
    </row>
    <row r="6" customFormat="false" ht="15" hidden="false" customHeight="false" outlineLevel="0" collapsed="false">
      <c r="A6" s="8" t="s">
        <v>31</v>
      </c>
      <c r="B6" s="8" t="n">
        <f aca="false">IFERROR(LOOKUP(2,1/(Sales_Ledger!$B$2:$B$21=$B$4),Sales_Ledger!$G$2:$G$21),"Not found")</f>
        <v>-80</v>
      </c>
    </row>
    <row r="8" customFormat="false" ht="15" hidden="false" customHeight="false" outlineLevel="0" collapsed="false">
      <c r="A8" s="10" t="s">
        <v>32</v>
      </c>
    </row>
    <row r="11" customFormat="false" ht="15" hidden="false" customHeight="false" outlineLevel="0" collapsed="false">
      <c r="A11" s="4" t="s">
        <v>33</v>
      </c>
    </row>
    <row r="12" customFormat="false" ht="15" hidden="false" customHeight="false" outlineLevel="0" collapsed="false">
      <c r="A12" s="1" t="s">
        <v>2</v>
      </c>
      <c r="B12" s="1" t="s">
        <v>5</v>
      </c>
    </row>
    <row r="13" customFormat="false" ht="15" hidden="false" customHeight="false" outlineLevel="0" collapsed="false">
      <c r="A13" s="2" t="s">
        <v>16</v>
      </c>
      <c r="B13" s="3" t="n">
        <f aca="false">SUMIFS(Sales_Ledger!$F$2:$F$21,Sales_Ledger!$C$2:$C$21,A13)</f>
        <v>994.41</v>
      </c>
    </row>
    <row r="14" customFormat="false" ht="15" hidden="false" customHeight="false" outlineLevel="0" collapsed="false">
      <c r="A14" s="2" t="s">
        <v>13</v>
      </c>
      <c r="B14" s="3" t="n">
        <f aca="false">SUMIFS(Sales_Ledger!$F$2:$F$21,Sales_Ledger!$C$2:$C$21,A14)</f>
        <v>3303.86</v>
      </c>
    </row>
    <row r="15" customFormat="false" ht="15" hidden="false" customHeight="false" outlineLevel="0" collapsed="false">
      <c r="A15" s="2" t="s">
        <v>11</v>
      </c>
      <c r="B15" s="3" t="n">
        <f aca="false">SUMIFS(Sales_Ledger!$F$2:$F$21,Sales_Ledger!$C$2:$C$21,A15)</f>
        <v>1319.78</v>
      </c>
    </row>
    <row r="16" customFormat="false" ht="15" hidden="false" customHeight="false" outlineLevel="0" collapsed="false">
      <c r="A16" s="2" t="s">
        <v>9</v>
      </c>
      <c r="B16" s="3" t="n">
        <f aca="false">SUMIFS(Sales_Ledger!$F$2:$F$21,Sales_Ledger!$C$2:$C$21,A16)</f>
        <v>3869.58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2026-08-15T12:06:51Z</dcterms:created>
  <dc:creator>openpyxl</dc:creator>
  <dc:description/>
  <dc:language>en-US</dc:language>
  <cp:lastModifiedBy/>
  <dcterms:modified xsi:type="dcterms:W3CDTF">2026-08-15T12:06:53Z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